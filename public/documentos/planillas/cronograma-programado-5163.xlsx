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JUVACE 2\PROYECTO EPA\2026\CONTRATO 2 DEL 2026\PROFORMA\PRESUPUESTO OFERTA 783\"/>
    </mc:Choice>
  </mc:AlternateContent>
  <xr:revisionPtr revIDLastSave="0" documentId="13_ncr:1_{A104E459-F9C3-4002-9707-21AA69E6E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Valorad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4" i="2" l="1"/>
  <c r="I22" i="2"/>
  <c r="I20" i="2"/>
  <c r="I15" i="2"/>
  <c r="I13" i="2"/>
  <c r="I11" i="2"/>
  <c r="I12" i="2" s="1"/>
  <c r="I21" i="2"/>
  <c r="H21" i="2"/>
  <c r="H18" i="2"/>
  <c r="H19" i="2" s="1"/>
  <c r="H15" i="2"/>
  <c r="H13" i="2"/>
  <c r="H11" i="2"/>
  <c r="H12" i="2"/>
  <c r="H9" i="2"/>
  <c r="H10" i="2" s="1"/>
  <c r="G26" i="2"/>
  <c r="G17" i="2"/>
  <c r="G8" i="2"/>
  <c r="G29" i="2"/>
  <c r="G31" i="2"/>
  <c r="G33" i="2"/>
  <c r="G35" i="2"/>
  <c r="G37" i="2"/>
  <c r="G39" i="2"/>
  <c r="G41" i="2"/>
  <c r="G43" i="2"/>
  <c r="G45" i="2"/>
  <c r="G27" i="2"/>
  <c r="G11" i="2"/>
  <c r="G13" i="2"/>
  <c r="G15" i="2"/>
  <c r="G9" i="2"/>
  <c r="G18" i="2"/>
  <c r="G20" i="2"/>
  <c r="G22" i="2"/>
  <c r="G24" i="2"/>
  <c r="I46" i="2"/>
  <c r="H46" i="2"/>
  <c r="I44" i="2"/>
  <c r="H44" i="2"/>
  <c r="I42" i="2"/>
  <c r="H42" i="2"/>
  <c r="I40" i="2"/>
  <c r="H40" i="2"/>
  <c r="I38" i="2"/>
  <c r="H38" i="2"/>
  <c r="I36" i="2"/>
  <c r="H36" i="2"/>
  <c r="I34" i="2"/>
  <c r="H34" i="2"/>
  <c r="I32" i="2"/>
  <c r="H32" i="2"/>
  <c r="I30" i="2"/>
  <c r="H30" i="2"/>
  <c r="I28" i="2"/>
  <c r="H28" i="2"/>
  <c r="I25" i="2"/>
  <c r="H25" i="2"/>
  <c r="I23" i="2"/>
  <c r="H23" i="2"/>
  <c r="I19" i="2"/>
  <c r="I16" i="2"/>
  <c r="H16" i="2"/>
  <c r="I14" i="2"/>
  <c r="H14" i="2"/>
  <c r="I10" i="2"/>
  <c r="G47" i="2" l="1"/>
  <c r="I48" i="2"/>
  <c r="I49" i="2" s="1"/>
  <c r="H48" i="2"/>
  <c r="H50" i="2" s="1"/>
  <c r="I50" i="2" l="1"/>
  <c r="H49" i="2"/>
  <c r="H51" i="2" s="1"/>
  <c r="I51" i="2" s="1"/>
</calcChain>
</file>

<file path=xl/sharedStrings.xml><?xml version="1.0" encoding="utf-8"?>
<sst xmlns="http://schemas.openxmlformats.org/spreadsheetml/2006/main" count="118" uniqueCount="80">
  <si>
    <t>CRONOGRAMA VALORADO</t>
  </si>
  <si>
    <t>NOMBRE DEL OFERENTE:</t>
  </si>
  <si>
    <t>Consorcio</t>
  </si>
  <si>
    <t>PERIODOS</t>
  </si>
  <si>
    <t>Item</t>
  </si>
  <si>
    <t>Descripcion</t>
  </si>
  <si>
    <t>Unidad</t>
  </si>
  <si>
    <t>Cantidad</t>
  </si>
  <si>
    <t>P.Unit.</t>
  </si>
  <si>
    <t>P.Total</t>
  </si>
  <si>
    <t>1</t>
  </si>
  <si>
    <t/>
  </si>
  <si>
    <t>CANALES DEL SISTEMA TRASVASE MANABI</t>
  </si>
  <si>
    <t>1.1</t>
  </si>
  <si>
    <t>REPLANTEO Y NIVELACIÓN</t>
  </si>
  <si>
    <t>Km</t>
  </si>
  <si>
    <t>1.2</t>
  </si>
  <si>
    <t>LIMPIEZA Y DESAZOLVE DE CANALES MENORES (INCLUYE RECONFORMACIÓN DE TALUDES)</t>
  </si>
  <si>
    <t>m3</t>
  </si>
  <si>
    <t>1.3</t>
  </si>
  <si>
    <t>DESALOJO DE MATERIAL (DIST. 5KM)</t>
  </si>
  <si>
    <t>1.4</t>
  </si>
  <si>
    <t>TENDIDO DE MATERIAL DESALOJADO</t>
  </si>
  <si>
    <t>2</t>
  </si>
  <si>
    <t>CANAL DE ENCAUZAMIENTO SAN ANTONIO</t>
  </si>
  <si>
    <t>2.1</t>
  </si>
  <si>
    <t>2.2</t>
  </si>
  <si>
    <t>LIMPIEZA Y DESAZOLVE DE CANALES MAYORES (INCLUYE RECONFORMACIÓN DE TALUDES)</t>
  </si>
  <si>
    <t>2.3</t>
  </si>
  <si>
    <t>2.4</t>
  </si>
  <si>
    <t>3</t>
  </si>
  <si>
    <t>SUBESTACIÓN ELÉCTRICA SEVERINO</t>
  </si>
  <si>
    <t>3.1</t>
  </si>
  <si>
    <t>PRUEBAS ELÉCTRICAS INICIALES DEL TRANSFORMADOR: TTR, RESISTENCIA DE DEVANADOS, RESISTENCIA DE AISLAMIENTO, ÍNDICE DE POLARIZACIÓN</t>
  </si>
  <si>
    <t>glb</t>
  </si>
  <si>
    <t>3.2</t>
  </si>
  <si>
    <t>ANÁLISIS INICIAL DE ACEITE DIELÉCTRICO: RIGIDEZ DIELÉCTRICA, HUMEDAD, ACIDEZ, TENSIÓN INTERFACIAL, FACTOR DE DISIPACIÓN, RESISTIVIDAD, COLOR Y APARIENCIA</t>
  </si>
  <si>
    <t>3.3</t>
  </si>
  <si>
    <t>ANÁLISIS DE GASES DISUELTOS (DGA) Y COMPUESTOS FURÁNICOS (2-FAL) DEL ACEITE DIELÉCTRICO</t>
  </si>
  <si>
    <t>3.4</t>
  </si>
  <si>
    <t>TRASVASE, ALMACENAMIENTO TEMPORAL, FILTRADO, DESGASIFICACIÓN Y TRATAMIENTO DEL ACEITE DIELÉCTRICO MEDIANTE SISTEMA DE TERMOVACÍO</t>
  </si>
  <si>
    <t>3.5</t>
  </si>
  <si>
    <t>APERTURA, LEVANTAMIENTO DE TAPA Y PREPARACIÓN DEL TRANSFORMADOR PARA INSPECCIÓN INTERNA</t>
  </si>
  <si>
    <t>3.6</t>
  </si>
  <si>
    <t>INSPECCIÓN INTERNA DE NÚCLEO, DEVANADOS, AISLAMIENTO, CONEXIONES, PUESTA A TIERRA, ESTRUCTURAS, SUJECIONES, TERMINALES Y CAMBIADOR DE TOMAS</t>
  </si>
  <si>
    <t>3.7</t>
  </si>
  <si>
    <t>AJUSTES Y MANTENIMIENTO MECÁNICO INTERNO: APRIETE DE CONEXIONES Y ESTRUCTURAS, CORRECCIÓN DE HOLGURAS, LIMPIEZA, REVISIÓN DE EMPAQUES Y ELEMENTOS DE FIJACIÓN</t>
  </si>
  <si>
    <t>3.8</t>
  </si>
  <si>
    <t>CIERRE Y SELLADO DEL TRANSFORMADOR, INSTALACIÓN DE EMPAQUETADURAS, PRUEBA DE ESTANQUEIDAD, LLENADO Y TRATAMIENTO FINAL DEL ACEITE DIELÉCTRICO</t>
  </si>
  <si>
    <t>3.9</t>
  </si>
  <si>
    <t>PRUEBAS ELÉCTRICAS FINALES DEL TRANSFORMADOR: TTR, RESISTENCIA DE DEVANADOS, RESISTENCIA DE AISLAMIENTO, ÍNDICE DE POLARIZACIÓN</t>
  </si>
  <si>
    <t>3.10</t>
  </si>
  <si>
    <t>ANÁLISIS FINAL DEL ACEITE, COMPARACIÓN DE RESULTADOS, PROTOCOLO DE ACEPTACIÓN PARA ENERGIZACIÓN</t>
  </si>
  <si>
    <t>TOTAL:</t>
  </si>
  <si>
    <t>INVERSION MENSUAL</t>
  </si>
  <si>
    <t>AVANCE PARCIAL EN  %</t>
  </si>
  <si>
    <t>INVERSION ACUMULADA</t>
  </si>
  <si>
    <t>AVANCE ACUMULADO EN %</t>
  </si>
  <si>
    <t>FIRMA DEL OFERENTE, SU REPRESENTANTE</t>
  </si>
  <si>
    <t>LEGAL O PROCURADOR COMÚN (según el caso)</t>
  </si>
  <si>
    <t>MES 1</t>
  </si>
  <si>
    <t>MES 2</t>
  </si>
  <si>
    <t>30 DIAS</t>
  </si>
  <si>
    <t>N°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</si>
  <si>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</si>
  <si>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</si>
  <si>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</si>
  <si>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</si>
  <si>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</si>
  <si>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</si>
  <si>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</si>
  <si>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</si>
  <si>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</si>
  <si>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</si>
  <si>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</si>
  <si>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</si>
  <si>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</si>
  <si>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</si>
  <si>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</si>
  <si>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MANTENIMIENTO DE LA SUBESTACIÓN ELÉCTRICA SEVERINO Y CANALES DEL SISTEMA TRASVASE MANABÍ.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</si>
</sst>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$&quot;* #,##0.00_ ;_ &quot;$&quot;* \-#,##0.00_ ;_ &quot;$&quot;* &quot;-&quot;??_ ;_ @_ "/>
    <numFmt numFmtId="164" formatCode="[$-F800]dddd\,\ mmmm\ dd\,\ yyyy"/>
    <numFmt numFmtId="165" formatCode="#,##0.0000"/>
    <numFmt numFmtId="166" formatCode="&quot;Cuenca,  &quot;d&quot; de &quot;mmmm&quot; de &quot;yyyy"/>
    <numFmt numFmtId="167" formatCode="#,##0.00000"/>
    <numFmt numFmtId="168" formatCode="#,##0.000000"/>
    <numFmt numFmtId="169" formatCode="_ &quot;$&quot;* #,##0.0000_ ;_ &quot;$&quot;* \-#,##0.0000_ ;_ &quot;$&quot;* &quot;-&quot;??_ ;_ @_ "/>
    <numFmt numFmtId="170" formatCode="_ &quot;$&quot;* #,##0.00000_ ;_ &quot;$&quot;* \-#,##0.00000_ ;_ &quot;$&quot;* &quot;-&quot;??_ ;_ @_ "/>
  </numFmts>
  <fonts count="12" x14ac:knownFonts="1">
    <font>
      <sz val="11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theme="1"/>
      <name val="Arial"/>
    </font>
    <font>
      <sz val="9"/>
      <color theme="1"/>
      <name val="Arial"/>
    </font>
    <font>
      <b/>
      <sz val="9"/>
      <color rgb="FF000000"/>
      <name val="Arial"/>
    </font>
    <font>
      <sz val="10"/>
      <name val="Arial"/>
    </font>
    <font>
      <sz val="11"/>
      <color theme="1"/>
      <name val="Calibri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6" fillId="0" borderId="1"/>
    <xf numFmtId="0" fontId="7" fillId="0" borderId="1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09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7" xfId="0" applyFont="1" applyBorder="1"/>
    <xf numFmtId="0" fontId="5" fillId="0" borderId="1" xfId="1" applyFont="1"/>
    <xf numFmtId="4" fontId="1" fillId="0" borderId="1" xfId="1" applyNumberFormat="1" applyFont="1" applyAlignment="1">
      <alignment horizontal="center"/>
    </xf>
    <xf numFmtId="4" fontId="1" fillId="0" borderId="1" xfId="1" applyNumberFormat="1" applyFont="1" applyAlignment="1">
      <alignment horizontal="right"/>
    </xf>
    <xf numFmtId="0" fontId="1" fillId="0" borderId="1" xfId="1" applyFont="1"/>
    <xf numFmtId="49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/>
    <xf numFmtId="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left" indent="1"/>
    </xf>
    <xf numFmtId="10" fontId="2" fillId="0" borderId="1" xfId="0" applyNumberFormat="1" applyFont="1" applyBorder="1" applyAlignment="1">
      <alignment horizontal="right"/>
    </xf>
    <xf numFmtId="0" fontId="5" fillId="0" borderId="0" xfId="0" applyFont="1"/>
    <xf numFmtId="4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 indent="1"/>
    </xf>
    <xf numFmtId="166" fontId="2" fillId="0" borderId="0" xfId="0" applyNumberFormat="1" applyFont="1" applyAlignment="1">
      <alignment horizontal="left" indent="1"/>
    </xf>
    <xf numFmtId="0" fontId="5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4" fontId="3" fillId="2" borderId="2" xfId="0" applyNumberFormat="1" applyFont="1" applyFill="1" applyBorder="1" applyAlignment="1">
      <alignment horizontal="right" vertical="center"/>
    </xf>
    <xf numFmtId="44" fontId="3" fillId="2" borderId="2" xfId="3" applyFont="1" applyFill="1" applyBorder="1" applyAlignment="1">
      <alignment horizontal="right" vertical="center"/>
    </xf>
    <xf numFmtId="4" fontId="1" fillId="2" borderId="2" xfId="0" applyNumberFormat="1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2" fillId="0" borderId="2" xfId="0" applyFont="1" applyBorder="1"/>
    <xf numFmtId="167" fontId="4" fillId="0" borderId="2" xfId="0" applyNumberFormat="1" applyFont="1" applyBorder="1" applyAlignment="1">
      <alignment vertical="center"/>
    </xf>
    <xf numFmtId="167" fontId="2" fillId="0" borderId="2" xfId="0" applyNumberFormat="1" applyFont="1" applyBorder="1" applyAlignment="1">
      <alignment vertical="center"/>
    </xf>
    <xf numFmtId="167" fontId="3" fillId="2" borderId="2" xfId="0" applyNumberFormat="1" applyFont="1" applyFill="1" applyBorder="1" applyAlignment="1">
      <alignment vertical="center"/>
    </xf>
    <xf numFmtId="167" fontId="3" fillId="2" borderId="2" xfId="3" applyNumberFormat="1" applyFont="1" applyFill="1" applyBorder="1" applyAlignment="1">
      <alignment vertical="center"/>
    </xf>
    <xf numFmtId="167" fontId="1" fillId="2" borderId="2" xfId="0" applyNumberFormat="1" applyFont="1" applyFill="1" applyBorder="1" applyAlignment="1">
      <alignment vertical="center"/>
    </xf>
    <xf numFmtId="167" fontId="4" fillId="0" borderId="2" xfId="0" applyNumberFormat="1" applyFont="1" applyBorder="1" applyAlignment="1">
      <alignment horizontal="right" vertical="center"/>
    </xf>
    <xf numFmtId="167" fontId="2" fillId="0" borderId="2" xfId="0" applyNumberFormat="1" applyFont="1" applyBorder="1" applyAlignment="1">
      <alignment horizontal="right" vertical="center"/>
    </xf>
    <xf numFmtId="168" fontId="4" fillId="0" borderId="2" xfId="0" applyNumberFormat="1" applyFont="1" applyBorder="1" applyAlignment="1">
      <alignment vertical="center"/>
    </xf>
    <xf numFmtId="168" fontId="2" fillId="0" borderId="2" xfId="0" applyNumberFormat="1" applyFont="1" applyBorder="1" applyAlignment="1">
      <alignment vertical="center"/>
    </xf>
    <xf numFmtId="168" fontId="3" fillId="2" borderId="2" xfId="3" applyNumberFormat="1" applyFont="1" applyFill="1" applyBorder="1" applyAlignment="1">
      <alignment vertical="center"/>
    </xf>
    <xf numFmtId="168" fontId="1" fillId="2" borderId="2" xfId="3" applyNumberFormat="1" applyFont="1" applyFill="1" applyBorder="1" applyAlignment="1">
      <alignment vertical="center"/>
    </xf>
    <xf numFmtId="170" fontId="4" fillId="0" borderId="2" xfId="3" applyNumberFormat="1" applyFont="1" applyBorder="1" applyAlignment="1">
      <alignment vertical="center"/>
    </xf>
    <xf numFmtId="170" fontId="2" fillId="0" borderId="2" xfId="3" applyNumberFormat="1" applyFont="1" applyBorder="1" applyAlignment="1">
      <alignment vertical="center"/>
    </xf>
    <xf numFmtId="170" fontId="2" fillId="0" borderId="2" xfId="3" applyNumberFormat="1" applyFont="1" applyBorder="1" applyAlignment="1">
      <alignment horizontal="right"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vertical="center" wrapText="1"/>
    </xf>
    <xf numFmtId="170" fontId="3" fillId="3" borderId="10" xfId="3" applyNumberFormat="1" applyFont="1" applyFill="1" applyBorder="1" applyAlignment="1">
      <alignment horizontal="right"/>
    </xf>
    <xf numFmtId="170" fontId="3" fillId="3" borderId="6" xfId="3" applyNumberFormat="1" applyFont="1" applyFill="1" applyBorder="1" applyAlignment="1">
      <alignment horizontal="right"/>
    </xf>
    <xf numFmtId="170" fontId="1" fillId="3" borderId="6" xfId="3" applyNumberFormat="1" applyFont="1" applyFill="1" applyBorder="1" applyAlignment="1">
      <alignment horizontal="right"/>
    </xf>
    <xf numFmtId="10" fontId="3" fillId="0" borderId="6" xfId="4" applyNumberFormat="1" applyFont="1" applyBorder="1" applyAlignment="1">
      <alignment horizontal="right"/>
    </xf>
    <xf numFmtId="10" fontId="1" fillId="0" borderId="6" xfId="4" applyNumberFormat="1" applyFont="1" applyBorder="1" applyAlignment="1">
      <alignment horizontal="right"/>
    </xf>
    <xf numFmtId="170" fontId="3" fillId="2" borderId="2" xfId="3" applyNumberFormat="1" applyFont="1" applyFill="1" applyBorder="1" applyAlignment="1">
      <alignment vertical="center"/>
    </xf>
    <xf numFmtId="170" fontId="3" fillId="2" borderId="2" xfId="3" applyNumberFormat="1" applyFont="1" applyFill="1" applyBorder="1" applyAlignment="1">
      <alignment horizontal="right" vertical="center"/>
    </xf>
    <xf numFmtId="170" fontId="9" fillId="0" borderId="2" xfId="3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164" fontId="2" fillId="0" borderId="1" xfId="1" applyNumberFormat="1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"/>
    </xf>
    <xf numFmtId="49" fontId="1" fillId="0" borderId="3" xfId="1" applyNumberFormat="1" applyFont="1" applyBorder="1" applyAlignment="1">
      <alignment horizontal="right" vertical="center"/>
    </xf>
    <xf numFmtId="49" fontId="1" fillId="0" borderId="4" xfId="1" applyNumberFormat="1" applyFont="1" applyBorder="1" applyAlignment="1">
      <alignment horizontal="right" vertical="center"/>
    </xf>
    <xf numFmtId="49" fontId="1" fillId="0" borderId="5" xfId="1" applyNumberFormat="1" applyFont="1" applyBorder="1" applyAlignment="1">
      <alignment horizontal="right" vertical="center"/>
    </xf>
    <xf numFmtId="0" fontId="1" fillId="3" borderId="2" xfId="2" applyFont="1" applyFill="1" applyBorder="1" applyAlignment="1">
      <alignment horizontal="right" vertical="top"/>
    </xf>
    <xf numFmtId="0" fontId="1" fillId="3" borderId="3" xfId="2" applyFont="1" applyFill="1" applyBorder="1" applyAlignment="1">
      <alignment horizontal="right" vertical="top"/>
    </xf>
    <xf numFmtId="0" fontId="1" fillId="0" borderId="2" xfId="2" applyFont="1" applyFill="1" applyBorder="1" applyAlignment="1">
      <alignment horizontal="right" vertical="top"/>
    </xf>
    <xf numFmtId="0" fontId="1" fillId="0" borderId="3" xfId="2" applyFont="1" applyFill="1" applyBorder="1" applyAlignment="1">
      <alignment horizontal="right" vertical="top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7" fontId="4" fillId="0" borderId="8" xfId="0" applyNumberFormat="1" applyFont="1" applyBorder="1" applyAlignment="1">
      <alignment vertical="center"/>
    </xf>
    <xf numFmtId="167" fontId="4" fillId="0" borderId="9" xfId="0" applyNumberFormat="1" applyFont="1" applyBorder="1" applyAlignment="1">
      <alignment vertical="center"/>
    </xf>
    <xf numFmtId="169" fontId="4" fillId="0" borderId="8" xfId="3" applyNumberFormat="1" applyFont="1" applyBorder="1" applyAlignment="1">
      <alignment vertical="center"/>
    </xf>
    <xf numFmtId="169" fontId="4" fillId="0" borderId="9" xfId="3" applyNumberFormat="1" applyFont="1" applyBorder="1" applyAlignment="1">
      <alignment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170" fontId="4" fillId="0" borderId="8" xfId="3" applyNumberFormat="1" applyFont="1" applyBorder="1" applyAlignment="1">
      <alignment vertical="center"/>
    </xf>
    <xf numFmtId="170" fontId="4" fillId="0" borderId="9" xfId="3" applyNumberFormat="1" applyFont="1" applyBorder="1" applyAlignment="1">
      <alignment vertical="center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170" fontId="4" fillId="0" borderId="2" xfId="3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right" vertical="center"/>
    </xf>
  </cellXfs>
  <cellStyles count="5">
    <cellStyle name="Moneda" xfId="3" builtinId="4"/>
    <cellStyle name="Normal" xfId="0" builtinId="0"/>
    <cellStyle name="Normal 2" xfId="1" xr:uid="{00000000-0005-0000-0000-000001000000}"/>
    <cellStyle name="Normal 6" xfId="2" xr:uid="{00000000-0005-0000-0000-000002000000}"/>
    <cellStyle name="Porcentaje" xfId="4" builtinId="5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topLeftCell="A39" zoomScaleNormal="100" workbookViewId="0">
      <selection activeCell="F54" sqref="F54"/>
    </sheetView>
  </sheetViews>
  <sheetFormatPr baseColWidth="10" defaultColWidth="11.5546875" defaultRowHeight="11.4" x14ac:dyDescent="0.2"/>
  <cols>
    <col min="1" max="1" width="7.21875" style="3" customWidth="1"/>
    <col min="2" max="2" width="7.109375" style="3" customWidth="1"/>
    <col min="3" max="3" width="36" style="3" customWidth="1"/>
    <col min="4" max="4" width="8.44140625" style="3" customWidth="1"/>
    <col min="5" max="5" width="13.33203125" style="3" customWidth="1"/>
    <col min="6" max="6" width="12.6640625" style="3" customWidth="1"/>
    <col min="7" max="7" width="19" style="3" customWidth="1"/>
    <col min="8" max="9" width="17.5546875" style="3" customWidth="1"/>
    <col min="10" max="16384" width="11.5546875" style="3"/>
  </cols>
  <sheetData>
    <row r="1" spans="1:10" ht="12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</row>
    <row r="2" spans="1:10" ht="12" x14ac:dyDescent="0.2">
      <c r="A2" s="4"/>
      <c r="B2" s="4"/>
      <c r="C2" s="4"/>
      <c r="D2" s="4"/>
      <c r="E2" s="4"/>
      <c r="F2" s="4"/>
      <c r="G2" s="4"/>
    </row>
    <row r="3" spans="1:10" ht="12" x14ac:dyDescent="0.25">
      <c r="A3" s="5" t="s">
        <v>1</v>
      </c>
      <c r="C3" s="76" t="s">
        <v>2</v>
      </c>
      <c r="D3" s="76"/>
      <c r="E3" s="76"/>
      <c r="F3" s="76"/>
      <c r="G3" s="76"/>
    </row>
    <row r="4" spans="1:10" ht="25.2" customHeight="1" x14ac:dyDescent="0.2">
      <c r="A4" s="103" t="s">
        <v>79</v>
      </c>
      <c r="B4" s="102"/>
      <c r="C4" s="102"/>
      <c r="D4" s="102"/>
      <c r="E4" s="102"/>
      <c r="F4" s="102"/>
      <c r="G4" s="102"/>
      <c r="H4" s="102"/>
      <c r="I4" s="102"/>
    </row>
    <row r="5" spans="1:10" ht="12" x14ac:dyDescent="0.25">
      <c r="A5" s="102" t="s">
        <v>0</v>
      </c>
      <c r="B5" s="102"/>
      <c r="C5" s="102"/>
      <c r="D5" s="102"/>
      <c r="E5" s="102"/>
      <c r="F5" s="102"/>
      <c r="G5" s="102"/>
      <c r="H5" s="77" t="s">
        <v>3</v>
      </c>
      <c r="I5" s="77"/>
    </row>
    <row r="6" spans="1:10" ht="12" x14ac:dyDescent="0.25">
      <c r="A6" s="102"/>
      <c r="B6" s="102"/>
      <c r="C6" s="102"/>
      <c r="D6" s="102"/>
      <c r="E6" s="102"/>
      <c r="F6" s="102"/>
      <c r="G6" s="102"/>
      <c r="H6" s="6" t="s">
        <v>60</v>
      </c>
      <c r="I6" s="6" t="s">
        <v>61</v>
      </c>
    </row>
    <row r="7" spans="1:10" ht="12" x14ac:dyDescent="0.25">
      <c r="A7" s="8" t="s">
        <v>4</v>
      </c>
      <c r="B7" s="8" t="s">
        <v>63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8" t="s">
        <v>62</v>
      </c>
      <c r="I7" s="40" t="s">
        <v>62</v>
      </c>
      <c r="J7" s="7"/>
    </row>
    <row r="8" spans="1:10" s="1" customFormat="1" ht="18" customHeight="1" x14ac:dyDescent="0.25">
      <c r="A8" s="41" t="s">
        <v>10</v>
      </c>
      <c r="B8" s="41" t="s">
        <v>11</v>
      </c>
      <c r="C8" s="63" t="s">
        <v>12</v>
      </c>
      <c r="D8" s="42" t="s">
        <v>11</v>
      </c>
      <c r="E8" s="43" t="s">
        <v>11</v>
      </c>
      <c r="F8" s="44" t="s">
        <v>11</v>
      </c>
      <c r="G8" s="71">
        <f>SUM(G9:G16)</f>
        <v>1536079.3800000001</v>
      </c>
      <c r="H8" s="43" t="s">
        <v>11</v>
      </c>
      <c r="I8" s="45" t="s">
        <v>11</v>
      </c>
      <c r="J8" s="9"/>
    </row>
    <row r="9" spans="1:10" ht="13.8" customHeight="1" x14ac:dyDescent="0.2">
      <c r="A9" s="85" t="s">
        <v>13</v>
      </c>
      <c r="B9" s="85" t="s">
        <v>10</v>
      </c>
      <c r="C9" s="87" t="s">
        <v>14</v>
      </c>
      <c r="D9" s="89" t="s">
        <v>15</v>
      </c>
      <c r="E9" s="91">
        <v>43.8</v>
      </c>
      <c r="F9" s="93">
        <v>151.9</v>
      </c>
      <c r="G9" s="93">
        <f>+E9*F9</f>
        <v>6653.22</v>
      </c>
      <c r="H9" s="56">
        <f>+E9</f>
        <v>43.8</v>
      </c>
      <c r="I9" s="57">
        <v>0</v>
      </c>
      <c r="J9" s="10"/>
    </row>
    <row r="10" spans="1:10" ht="13.8" customHeight="1" x14ac:dyDescent="0.2">
      <c r="A10" s="86"/>
      <c r="B10" s="86"/>
      <c r="C10" s="88"/>
      <c r="D10" s="90"/>
      <c r="E10" s="92"/>
      <c r="F10" s="94"/>
      <c r="G10" s="94"/>
      <c r="H10" s="60">
        <f>+H9*F9</f>
        <v>6653.22</v>
      </c>
      <c r="I10" s="61">
        <f>+I9*F9</f>
        <v>0</v>
      </c>
      <c r="J10" s="10"/>
    </row>
    <row r="11" spans="1:10" ht="13.8" customHeight="1" x14ac:dyDescent="0.2">
      <c r="A11" s="85" t="s">
        <v>16</v>
      </c>
      <c r="B11" s="95" t="s">
        <v>23</v>
      </c>
      <c r="C11" s="87" t="s">
        <v>17</v>
      </c>
      <c r="D11" s="89" t="s">
        <v>18</v>
      </c>
      <c r="E11" s="91">
        <v>525576</v>
      </c>
      <c r="F11" s="93">
        <v>2</v>
      </c>
      <c r="G11" s="93">
        <f t="shared" ref="G11" si="0">+E11*F11</f>
        <v>1051152</v>
      </c>
      <c r="H11" s="49">
        <f>+E11*0.5</f>
        <v>262788</v>
      </c>
      <c r="I11" s="50">
        <f>+E11-H11</f>
        <v>262788</v>
      </c>
      <c r="J11" s="10"/>
    </row>
    <row r="12" spans="1:10" ht="13.8" customHeight="1" x14ac:dyDescent="0.2">
      <c r="A12" s="86"/>
      <c r="B12" s="96"/>
      <c r="C12" s="88"/>
      <c r="D12" s="90"/>
      <c r="E12" s="92"/>
      <c r="F12" s="94"/>
      <c r="G12" s="94"/>
      <c r="H12" s="60">
        <f>+H11*F11</f>
        <v>525576</v>
      </c>
      <c r="I12" s="61">
        <f>+I11*F11</f>
        <v>525576</v>
      </c>
      <c r="J12" s="10"/>
    </row>
    <row r="13" spans="1:10" ht="13.8" customHeight="1" x14ac:dyDescent="0.2">
      <c r="A13" s="85" t="s">
        <v>19</v>
      </c>
      <c r="B13" s="95" t="s">
        <v>30</v>
      </c>
      <c r="C13" s="87" t="s">
        <v>20</v>
      </c>
      <c r="D13" s="89" t="s">
        <v>18</v>
      </c>
      <c r="E13" s="91">
        <v>525576</v>
      </c>
      <c r="F13" s="93">
        <v>0.38</v>
      </c>
      <c r="G13" s="93">
        <f t="shared" ref="G13" si="1">+E13*F13</f>
        <v>199718.88</v>
      </c>
      <c r="H13" s="49">
        <f>+E13*0.5</f>
        <v>262788</v>
      </c>
      <c r="I13" s="50">
        <f>+E13-H13</f>
        <v>262788</v>
      </c>
      <c r="J13" s="10"/>
    </row>
    <row r="14" spans="1:10" ht="13.8" customHeight="1" x14ac:dyDescent="0.2">
      <c r="A14" s="86"/>
      <c r="B14" s="96"/>
      <c r="C14" s="88"/>
      <c r="D14" s="90"/>
      <c r="E14" s="92"/>
      <c r="F14" s="94"/>
      <c r="G14" s="94"/>
      <c r="H14" s="60">
        <f>+H13*F13</f>
        <v>99859.44</v>
      </c>
      <c r="I14" s="61">
        <f>+I13*F13</f>
        <v>99859.44</v>
      </c>
      <c r="J14" s="10"/>
    </row>
    <row r="15" spans="1:10" ht="13.8" customHeight="1" x14ac:dyDescent="0.2">
      <c r="A15" s="85" t="s">
        <v>21</v>
      </c>
      <c r="B15" s="95" t="s">
        <v>64</v>
      </c>
      <c r="C15" s="87" t="s">
        <v>22</v>
      </c>
      <c r="D15" s="89" t="s">
        <v>18</v>
      </c>
      <c r="E15" s="91">
        <v>525576</v>
      </c>
      <c r="F15" s="93">
        <v>0.53</v>
      </c>
      <c r="G15" s="93">
        <f t="shared" ref="G15" si="2">+E15*F15</f>
        <v>278555.28000000003</v>
      </c>
      <c r="H15" s="49">
        <f>+E15*0.5</f>
        <v>262788</v>
      </c>
      <c r="I15" s="50">
        <f>+E15-H15</f>
        <v>262788</v>
      </c>
      <c r="J15" s="10"/>
    </row>
    <row r="16" spans="1:10" ht="13.8" customHeight="1" x14ac:dyDescent="0.2">
      <c r="A16" s="86"/>
      <c r="B16" s="96"/>
      <c r="C16" s="88"/>
      <c r="D16" s="90"/>
      <c r="E16" s="92"/>
      <c r="F16" s="94"/>
      <c r="G16" s="94"/>
      <c r="H16" s="60">
        <f>+H15*F15</f>
        <v>139277.64000000001</v>
      </c>
      <c r="I16" s="61">
        <f>+I15*F15</f>
        <v>139277.64000000001</v>
      </c>
      <c r="J16" s="10"/>
    </row>
    <row r="17" spans="1:10" s="1" customFormat="1" ht="18.600000000000001" customHeight="1" x14ac:dyDescent="0.25">
      <c r="A17" s="41" t="s">
        <v>23</v>
      </c>
      <c r="B17" s="46"/>
      <c r="C17" s="64" t="s">
        <v>24</v>
      </c>
      <c r="D17" s="42" t="s">
        <v>11</v>
      </c>
      <c r="E17" s="51" t="s">
        <v>11</v>
      </c>
      <c r="F17" s="52" t="s">
        <v>11</v>
      </c>
      <c r="G17" s="70">
        <f>SUM(G18:G25)</f>
        <v>228926.76999789997</v>
      </c>
      <c r="H17" s="58" t="s">
        <v>11</v>
      </c>
      <c r="I17" s="59" t="s">
        <v>11</v>
      </c>
      <c r="J17" s="9"/>
    </row>
    <row r="18" spans="1:10" ht="13.8" customHeight="1" x14ac:dyDescent="0.2">
      <c r="A18" s="85" t="s">
        <v>25</v>
      </c>
      <c r="B18" s="95" t="s">
        <v>65</v>
      </c>
      <c r="C18" s="87" t="s">
        <v>14</v>
      </c>
      <c r="D18" s="89" t="s">
        <v>15</v>
      </c>
      <c r="E18" s="91">
        <v>1.5</v>
      </c>
      <c r="F18" s="97">
        <v>151.9</v>
      </c>
      <c r="G18" s="97">
        <f t="shared" ref="G18" si="3">+E18*F18</f>
        <v>227.85000000000002</v>
      </c>
      <c r="H18" s="49">
        <f>+E18</f>
        <v>1.5</v>
      </c>
      <c r="I18" s="50">
        <v>0</v>
      </c>
      <c r="J18" s="10"/>
    </row>
    <row r="19" spans="1:10" ht="13.8" customHeight="1" x14ac:dyDescent="0.2">
      <c r="A19" s="86"/>
      <c r="B19" s="96"/>
      <c r="C19" s="88"/>
      <c r="D19" s="90"/>
      <c r="E19" s="92"/>
      <c r="F19" s="98"/>
      <c r="G19" s="98"/>
      <c r="H19" s="60">
        <f>+H18*F18</f>
        <v>227.85000000000002</v>
      </c>
      <c r="I19" s="61">
        <f>+I18*F18</f>
        <v>0</v>
      </c>
      <c r="J19" s="10"/>
    </row>
    <row r="20" spans="1:10" ht="13.8" customHeight="1" x14ac:dyDescent="0.2">
      <c r="A20" s="85" t="s">
        <v>26</v>
      </c>
      <c r="B20" s="95" t="s">
        <v>66</v>
      </c>
      <c r="C20" s="87" t="s">
        <v>27</v>
      </c>
      <c r="D20" s="89" t="s">
        <v>18</v>
      </c>
      <c r="E20" s="91">
        <v>71692.451409999994</v>
      </c>
      <c r="F20" s="97">
        <v>2.2799999999999998</v>
      </c>
      <c r="G20" s="97">
        <f t="shared" ref="G20" si="4">+E20*F20</f>
        <v>163458.78921479997</v>
      </c>
      <c r="H20" s="49">
        <v>39431</v>
      </c>
      <c r="I20" s="50">
        <f>+E20-H20</f>
        <v>32261.451409999994</v>
      </c>
      <c r="J20" s="10"/>
    </row>
    <row r="21" spans="1:10" ht="13.8" customHeight="1" x14ac:dyDescent="0.2">
      <c r="A21" s="86"/>
      <c r="B21" s="96"/>
      <c r="C21" s="88"/>
      <c r="D21" s="90"/>
      <c r="E21" s="92"/>
      <c r="F21" s="98"/>
      <c r="G21" s="98"/>
      <c r="H21" s="60">
        <f>+H20*F20</f>
        <v>89902.68</v>
      </c>
      <c r="I21" s="62">
        <f>+I20*F20</f>
        <v>73556.109214799973</v>
      </c>
      <c r="J21" s="10"/>
    </row>
    <row r="22" spans="1:10" ht="13.8" customHeight="1" x14ac:dyDescent="0.2">
      <c r="A22" s="85" t="s">
        <v>28</v>
      </c>
      <c r="B22" s="95" t="s">
        <v>67</v>
      </c>
      <c r="C22" s="87" t="s">
        <v>20</v>
      </c>
      <c r="D22" s="89" t="s">
        <v>18</v>
      </c>
      <c r="E22" s="91">
        <v>71692.451409999994</v>
      </c>
      <c r="F22" s="97">
        <v>0.38</v>
      </c>
      <c r="G22" s="97">
        <f t="shared" ref="G22" si="5">+E22*F22</f>
        <v>27243.131535799999</v>
      </c>
      <c r="H22" s="49">
        <v>39431</v>
      </c>
      <c r="I22" s="50">
        <f>+E22-H22</f>
        <v>32261.451409999994</v>
      </c>
      <c r="J22" s="10"/>
    </row>
    <row r="23" spans="1:10" ht="13.8" customHeight="1" x14ac:dyDescent="0.2">
      <c r="A23" s="86"/>
      <c r="B23" s="96"/>
      <c r="C23" s="88"/>
      <c r="D23" s="90"/>
      <c r="E23" s="92"/>
      <c r="F23" s="98"/>
      <c r="G23" s="98"/>
      <c r="H23" s="60">
        <f>+H22*F22</f>
        <v>14983.78</v>
      </c>
      <c r="I23" s="61">
        <f>+I22*F22</f>
        <v>12259.351535799999</v>
      </c>
      <c r="J23" s="10"/>
    </row>
    <row r="24" spans="1:10" ht="13.8" customHeight="1" x14ac:dyDescent="0.2">
      <c r="A24" s="85" t="s">
        <v>29</v>
      </c>
      <c r="B24" s="95" t="s">
        <v>68</v>
      </c>
      <c r="C24" s="87" t="s">
        <v>22</v>
      </c>
      <c r="D24" s="89" t="s">
        <v>18</v>
      </c>
      <c r="E24" s="91">
        <v>71692.451409999994</v>
      </c>
      <c r="F24" s="97">
        <v>0.53</v>
      </c>
      <c r="G24" s="97">
        <f>+E24*F24</f>
        <v>37996.999247300002</v>
      </c>
      <c r="H24" s="49">
        <v>39431</v>
      </c>
      <c r="I24" s="50">
        <f>+E24-H24</f>
        <v>32261.451409999994</v>
      </c>
      <c r="J24" s="10"/>
    </row>
    <row r="25" spans="1:10" ht="13.8" customHeight="1" x14ac:dyDescent="0.2">
      <c r="A25" s="86"/>
      <c r="B25" s="96"/>
      <c r="C25" s="88"/>
      <c r="D25" s="90"/>
      <c r="E25" s="92"/>
      <c r="F25" s="98"/>
      <c r="G25" s="98"/>
      <c r="H25" s="60">
        <f>+H24*F24</f>
        <v>20898.43</v>
      </c>
      <c r="I25" s="61">
        <f>+I24*F24</f>
        <v>17098.569247299998</v>
      </c>
      <c r="J25" s="10"/>
    </row>
    <row r="26" spans="1:10" s="1" customFormat="1" ht="20.399999999999999" customHeight="1" x14ac:dyDescent="0.25">
      <c r="A26" s="41" t="s">
        <v>30</v>
      </c>
      <c r="B26" s="46"/>
      <c r="C26" s="63" t="s">
        <v>31</v>
      </c>
      <c r="D26" s="42" t="s">
        <v>11</v>
      </c>
      <c r="E26" s="51" t="s">
        <v>11</v>
      </c>
      <c r="F26" s="52" t="s">
        <v>11</v>
      </c>
      <c r="G26" s="70">
        <f>SUM(G27:G46)</f>
        <v>28874.859999999997</v>
      </c>
      <c r="H26" s="51" t="s">
        <v>11</v>
      </c>
      <c r="I26" s="53" t="s">
        <v>11</v>
      </c>
      <c r="J26" s="9"/>
    </row>
    <row r="27" spans="1:10" ht="25.2" customHeight="1" x14ac:dyDescent="0.2">
      <c r="A27" s="85" t="s">
        <v>32</v>
      </c>
      <c r="B27" s="95" t="s">
        <v>69</v>
      </c>
      <c r="C27" s="99" t="s">
        <v>33</v>
      </c>
      <c r="D27" s="89" t="s">
        <v>34</v>
      </c>
      <c r="E27" s="91">
        <v>1</v>
      </c>
      <c r="F27" s="97">
        <v>2736.73</v>
      </c>
      <c r="G27" s="97">
        <f>+E27*F27</f>
        <v>2736.73</v>
      </c>
      <c r="H27" s="49">
        <v>1</v>
      </c>
      <c r="I27" s="50">
        <v>0</v>
      </c>
      <c r="J27" s="10"/>
    </row>
    <row r="28" spans="1:10" ht="25.2" customHeight="1" x14ac:dyDescent="0.2">
      <c r="A28" s="86"/>
      <c r="B28" s="96"/>
      <c r="C28" s="100"/>
      <c r="D28" s="90"/>
      <c r="E28" s="92"/>
      <c r="F28" s="98"/>
      <c r="G28" s="98"/>
      <c r="H28" s="60">
        <f>+H27*F27</f>
        <v>2736.73</v>
      </c>
      <c r="I28" s="61">
        <f>+I27*F27</f>
        <v>0</v>
      </c>
      <c r="J28" s="10"/>
    </row>
    <row r="29" spans="1:10" ht="25.2" customHeight="1" x14ac:dyDescent="0.2">
      <c r="A29" s="85" t="s">
        <v>35</v>
      </c>
      <c r="B29" s="95" t="s">
        <v>70</v>
      </c>
      <c r="C29" s="99" t="s">
        <v>36</v>
      </c>
      <c r="D29" s="89" t="s">
        <v>34</v>
      </c>
      <c r="E29" s="91">
        <v>1</v>
      </c>
      <c r="F29" s="97">
        <v>718.18</v>
      </c>
      <c r="G29" s="97">
        <f t="shared" ref="G29" si="6">+E29*F29</f>
        <v>718.18</v>
      </c>
      <c r="H29" s="49">
        <v>1</v>
      </c>
      <c r="I29" s="50">
        <v>0</v>
      </c>
      <c r="J29" s="10"/>
    </row>
    <row r="30" spans="1:10" ht="25.2" customHeight="1" x14ac:dyDescent="0.2">
      <c r="A30" s="86"/>
      <c r="B30" s="96"/>
      <c r="C30" s="100"/>
      <c r="D30" s="90"/>
      <c r="E30" s="92"/>
      <c r="F30" s="98"/>
      <c r="G30" s="98"/>
      <c r="H30" s="60">
        <f>+H29*F29</f>
        <v>718.18</v>
      </c>
      <c r="I30" s="61">
        <f>+I29*F29</f>
        <v>0</v>
      </c>
      <c r="J30" s="10"/>
    </row>
    <row r="31" spans="1:10" ht="25.2" customHeight="1" x14ac:dyDescent="0.2">
      <c r="A31" s="85" t="s">
        <v>37</v>
      </c>
      <c r="B31" s="95" t="s">
        <v>71</v>
      </c>
      <c r="C31" s="99" t="s">
        <v>38</v>
      </c>
      <c r="D31" s="89" t="s">
        <v>34</v>
      </c>
      <c r="E31" s="91">
        <v>1</v>
      </c>
      <c r="F31" s="97">
        <v>647.80999999999995</v>
      </c>
      <c r="G31" s="97">
        <f t="shared" ref="G31" si="7">+E31*F31</f>
        <v>647.80999999999995</v>
      </c>
      <c r="H31" s="49">
        <v>1</v>
      </c>
      <c r="I31" s="50">
        <v>0</v>
      </c>
      <c r="J31" s="10"/>
    </row>
    <row r="32" spans="1:10" ht="25.2" customHeight="1" x14ac:dyDescent="0.2">
      <c r="A32" s="86"/>
      <c r="B32" s="96"/>
      <c r="C32" s="100"/>
      <c r="D32" s="90"/>
      <c r="E32" s="92"/>
      <c r="F32" s="98"/>
      <c r="G32" s="98"/>
      <c r="H32" s="60">
        <f>+H31*F31</f>
        <v>647.80999999999995</v>
      </c>
      <c r="I32" s="61">
        <f>+I31*F31</f>
        <v>0</v>
      </c>
      <c r="J32" s="10"/>
    </row>
    <row r="33" spans="1:10" ht="25.2" customHeight="1" x14ac:dyDescent="0.2">
      <c r="A33" s="85" t="s">
        <v>39</v>
      </c>
      <c r="B33" s="95" t="s">
        <v>72</v>
      </c>
      <c r="C33" s="99" t="s">
        <v>40</v>
      </c>
      <c r="D33" s="89" t="s">
        <v>34</v>
      </c>
      <c r="E33" s="91">
        <v>1</v>
      </c>
      <c r="F33" s="97">
        <v>5692.14</v>
      </c>
      <c r="G33" s="97">
        <f t="shared" ref="G33" si="8">+E33*F33</f>
        <v>5692.14</v>
      </c>
      <c r="H33" s="49">
        <v>1</v>
      </c>
      <c r="I33" s="50">
        <v>0</v>
      </c>
      <c r="J33" s="10"/>
    </row>
    <row r="34" spans="1:10" ht="25.2" customHeight="1" x14ac:dyDescent="0.2">
      <c r="A34" s="86"/>
      <c r="B34" s="96"/>
      <c r="C34" s="100"/>
      <c r="D34" s="90"/>
      <c r="E34" s="92"/>
      <c r="F34" s="98"/>
      <c r="G34" s="98"/>
      <c r="H34" s="60">
        <f>+H33*F33</f>
        <v>5692.14</v>
      </c>
      <c r="I34" s="61">
        <f>+I33*F33</f>
        <v>0</v>
      </c>
      <c r="J34" s="10"/>
    </row>
    <row r="35" spans="1:10" ht="25.2" customHeight="1" x14ac:dyDescent="0.2">
      <c r="A35" s="85" t="s">
        <v>41</v>
      </c>
      <c r="B35" s="95" t="s">
        <v>73</v>
      </c>
      <c r="C35" s="99" t="s">
        <v>42</v>
      </c>
      <c r="D35" s="89" t="s">
        <v>34</v>
      </c>
      <c r="E35" s="91">
        <v>1</v>
      </c>
      <c r="F35" s="97">
        <v>4358.87</v>
      </c>
      <c r="G35" s="97">
        <f t="shared" ref="G35" si="9">+E35*F35</f>
        <v>4358.87</v>
      </c>
      <c r="H35" s="49">
        <v>1</v>
      </c>
      <c r="I35" s="50">
        <v>0</v>
      </c>
      <c r="J35" s="10"/>
    </row>
    <row r="36" spans="1:10" ht="25.2" customHeight="1" x14ac:dyDescent="0.2">
      <c r="A36" s="86"/>
      <c r="B36" s="96"/>
      <c r="C36" s="100"/>
      <c r="D36" s="90"/>
      <c r="E36" s="92"/>
      <c r="F36" s="98"/>
      <c r="G36" s="98"/>
      <c r="H36" s="60">
        <f>+H35*F35</f>
        <v>4358.87</v>
      </c>
      <c r="I36" s="61">
        <f>+I35*F35</f>
        <v>0</v>
      </c>
      <c r="J36" s="10"/>
    </row>
    <row r="37" spans="1:10" ht="25.2" customHeight="1" x14ac:dyDescent="0.2">
      <c r="A37" s="85" t="s">
        <v>43</v>
      </c>
      <c r="B37" s="95" t="s">
        <v>74</v>
      </c>
      <c r="C37" s="99" t="s">
        <v>44</v>
      </c>
      <c r="D37" s="89" t="s">
        <v>34</v>
      </c>
      <c r="E37" s="91">
        <v>1</v>
      </c>
      <c r="F37" s="97">
        <v>2549.7600000000002</v>
      </c>
      <c r="G37" s="97">
        <f t="shared" ref="G37" si="10">+E37*F37</f>
        <v>2549.7600000000002</v>
      </c>
      <c r="H37" s="49">
        <v>1</v>
      </c>
      <c r="I37" s="50">
        <v>0</v>
      </c>
      <c r="J37" s="10"/>
    </row>
    <row r="38" spans="1:10" ht="25.2" customHeight="1" x14ac:dyDescent="0.2">
      <c r="A38" s="86"/>
      <c r="B38" s="96"/>
      <c r="C38" s="100"/>
      <c r="D38" s="90"/>
      <c r="E38" s="92"/>
      <c r="F38" s="98"/>
      <c r="G38" s="98"/>
      <c r="H38" s="60">
        <f>+H37*F37</f>
        <v>2549.7600000000002</v>
      </c>
      <c r="I38" s="61">
        <f>+I37*F37</f>
        <v>0</v>
      </c>
      <c r="J38" s="10"/>
    </row>
    <row r="39" spans="1:10" ht="25.2" customHeight="1" x14ac:dyDescent="0.2">
      <c r="A39" s="85" t="s">
        <v>45</v>
      </c>
      <c r="B39" s="95" t="s">
        <v>75</v>
      </c>
      <c r="C39" s="99" t="s">
        <v>46</v>
      </c>
      <c r="D39" s="89" t="s">
        <v>34</v>
      </c>
      <c r="E39" s="91">
        <v>1</v>
      </c>
      <c r="F39" s="97">
        <v>3151.87</v>
      </c>
      <c r="G39" s="97">
        <f t="shared" ref="G39" si="11">+E39*F39</f>
        <v>3151.87</v>
      </c>
      <c r="H39" s="49">
        <v>1</v>
      </c>
      <c r="I39" s="50">
        <v>0</v>
      </c>
      <c r="J39" s="10"/>
    </row>
    <row r="40" spans="1:10" ht="25.2" customHeight="1" x14ac:dyDescent="0.2">
      <c r="A40" s="86"/>
      <c r="B40" s="96"/>
      <c r="C40" s="100"/>
      <c r="D40" s="90"/>
      <c r="E40" s="92"/>
      <c r="F40" s="98"/>
      <c r="G40" s="98"/>
      <c r="H40" s="60">
        <f>+H39*F39</f>
        <v>3151.87</v>
      </c>
      <c r="I40" s="61">
        <f>+I39*F39</f>
        <v>0</v>
      </c>
      <c r="J40" s="10"/>
    </row>
    <row r="41" spans="1:10" ht="25.2" customHeight="1" x14ac:dyDescent="0.2">
      <c r="A41" s="85" t="s">
        <v>47</v>
      </c>
      <c r="B41" s="95" t="s">
        <v>76</v>
      </c>
      <c r="C41" s="99" t="s">
        <v>48</v>
      </c>
      <c r="D41" s="89" t="s">
        <v>34</v>
      </c>
      <c r="E41" s="91">
        <v>1</v>
      </c>
      <c r="F41" s="97">
        <v>4735.49</v>
      </c>
      <c r="G41" s="97">
        <f t="shared" ref="G41" si="12">+E41*F41</f>
        <v>4735.49</v>
      </c>
      <c r="H41" s="49">
        <v>1</v>
      </c>
      <c r="I41" s="50">
        <v>0</v>
      </c>
      <c r="J41" s="10"/>
    </row>
    <row r="42" spans="1:10" ht="25.2" customHeight="1" x14ac:dyDescent="0.2">
      <c r="A42" s="86"/>
      <c r="B42" s="96"/>
      <c r="C42" s="100"/>
      <c r="D42" s="90"/>
      <c r="E42" s="92"/>
      <c r="F42" s="98"/>
      <c r="G42" s="98"/>
      <c r="H42" s="60">
        <f>+H41*F41</f>
        <v>4735.49</v>
      </c>
      <c r="I42" s="61">
        <f>+I41*F41</f>
        <v>0</v>
      </c>
      <c r="J42" s="10"/>
    </row>
    <row r="43" spans="1:10" ht="25.2" customHeight="1" x14ac:dyDescent="0.2">
      <c r="A43" s="85" t="s">
        <v>49</v>
      </c>
      <c r="B43" s="95" t="s">
        <v>77</v>
      </c>
      <c r="C43" s="99" t="s">
        <v>50</v>
      </c>
      <c r="D43" s="89" t="s">
        <v>34</v>
      </c>
      <c r="E43" s="91">
        <v>1</v>
      </c>
      <c r="F43" s="97">
        <v>2724.73</v>
      </c>
      <c r="G43" s="97">
        <f t="shared" ref="G43" si="13">+E43*F43</f>
        <v>2724.73</v>
      </c>
      <c r="H43" s="49">
        <v>1</v>
      </c>
      <c r="I43" s="50">
        <v>0</v>
      </c>
      <c r="J43" s="10"/>
    </row>
    <row r="44" spans="1:10" ht="25.2" customHeight="1" x14ac:dyDescent="0.2">
      <c r="A44" s="86"/>
      <c r="B44" s="96"/>
      <c r="C44" s="100"/>
      <c r="D44" s="90"/>
      <c r="E44" s="92"/>
      <c r="F44" s="98"/>
      <c r="G44" s="98"/>
      <c r="H44" s="60">
        <f>+H43*F43</f>
        <v>2724.73</v>
      </c>
      <c r="I44" s="61">
        <f>+I43*F43</f>
        <v>0</v>
      </c>
      <c r="J44" s="10"/>
    </row>
    <row r="45" spans="1:10" ht="25.2" customHeight="1" x14ac:dyDescent="0.2">
      <c r="A45" s="104" t="s">
        <v>51</v>
      </c>
      <c r="B45" s="105" t="s">
        <v>78</v>
      </c>
      <c r="C45" s="106" t="s">
        <v>52</v>
      </c>
      <c r="D45" s="107" t="s">
        <v>34</v>
      </c>
      <c r="E45" s="108">
        <v>1</v>
      </c>
      <c r="F45" s="101">
        <v>1559.28</v>
      </c>
      <c r="G45" s="97">
        <f t="shared" ref="G45" si="14">+E45*F45</f>
        <v>1559.28</v>
      </c>
      <c r="H45" s="54">
        <v>1</v>
      </c>
      <c r="I45" s="55">
        <v>0</v>
      </c>
      <c r="J45" s="10"/>
    </row>
    <row r="46" spans="1:10" ht="25.2" customHeight="1" x14ac:dyDescent="0.2">
      <c r="A46" s="104"/>
      <c r="B46" s="105"/>
      <c r="C46" s="106"/>
      <c r="D46" s="107"/>
      <c r="E46" s="108"/>
      <c r="F46" s="101"/>
      <c r="G46" s="98"/>
      <c r="H46" s="60">
        <f>+H45*F45</f>
        <v>1559.28</v>
      </c>
      <c r="I46" s="61">
        <f>+I45*F45</f>
        <v>0</v>
      </c>
      <c r="J46" s="10"/>
    </row>
    <row r="47" spans="1:10" ht="16.2" customHeight="1" x14ac:dyDescent="0.2">
      <c r="A47" s="78" t="s">
        <v>53</v>
      </c>
      <c r="B47" s="79"/>
      <c r="C47" s="79"/>
      <c r="D47" s="79"/>
      <c r="E47" s="79"/>
      <c r="F47" s="80"/>
      <c r="G47" s="72">
        <f>+G26+G17+G8</f>
        <v>1793881.0099979001</v>
      </c>
      <c r="H47" s="47"/>
      <c r="I47" s="48"/>
    </row>
    <row r="48" spans="1:10" ht="16.2" customHeight="1" x14ac:dyDescent="0.25">
      <c r="A48" s="81" t="s">
        <v>54</v>
      </c>
      <c r="B48" s="81"/>
      <c r="C48" s="81"/>
      <c r="D48" s="81"/>
      <c r="E48" s="81"/>
      <c r="F48" s="81"/>
      <c r="G48" s="82"/>
      <c r="H48" s="65">
        <f>+H10+H12+H14+H16+H19+H21+H23+H25+H28+H30+H32+H34+H36+H38+H40+H42+H44+H46</f>
        <v>926253.9</v>
      </c>
      <c r="I48" s="65">
        <f>+I10+I12+I14+I16+I19+I21+I23+I25+I28+I30+I32+I34+I36+I38+I40+I42+I44+I46</f>
        <v>867627.10999789997</v>
      </c>
    </row>
    <row r="49" spans="1:9" ht="16.2" customHeight="1" x14ac:dyDescent="0.25">
      <c r="A49" s="83" t="s">
        <v>55</v>
      </c>
      <c r="B49" s="83"/>
      <c r="C49" s="83"/>
      <c r="D49" s="83"/>
      <c r="E49" s="83"/>
      <c r="F49" s="83"/>
      <c r="G49" s="84"/>
      <c r="H49" s="68">
        <f>+H48/G47</f>
        <v>0.51634076889028679</v>
      </c>
      <c r="I49" s="69">
        <f>+I48/G47</f>
        <v>0.48365923110971315</v>
      </c>
    </row>
    <row r="50" spans="1:9" ht="16.2" customHeight="1" x14ac:dyDescent="0.25">
      <c r="A50" s="81" t="s">
        <v>56</v>
      </c>
      <c r="B50" s="81"/>
      <c r="C50" s="81"/>
      <c r="D50" s="81"/>
      <c r="E50" s="81"/>
      <c r="F50" s="81"/>
      <c r="G50" s="82"/>
      <c r="H50" s="66">
        <f>+H48</f>
        <v>926253.9</v>
      </c>
      <c r="I50" s="67">
        <f>+H50+I48</f>
        <v>1793881.0099979001</v>
      </c>
    </row>
    <row r="51" spans="1:9" ht="16.2" customHeight="1" x14ac:dyDescent="0.25">
      <c r="A51" s="83" t="s">
        <v>57</v>
      </c>
      <c r="B51" s="83"/>
      <c r="C51" s="83"/>
      <c r="D51" s="83"/>
      <c r="E51" s="83"/>
      <c r="F51" s="83"/>
      <c r="G51" s="84"/>
      <c r="H51" s="68">
        <f>+H49</f>
        <v>0.51634076889028679</v>
      </c>
      <c r="I51" s="69">
        <f>+H51+I49</f>
        <v>1</v>
      </c>
    </row>
    <row r="52" spans="1:9" ht="12" x14ac:dyDescent="0.25">
      <c r="A52" s="11"/>
      <c r="B52" s="11"/>
      <c r="C52" s="11"/>
      <c r="D52" s="11"/>
      <c r="E52" s="11"/>
      <c r="F52" s="11"/>
      <c r="G52" s="11"/>
    </row>
    <row r="53" spans="1:9" x14ac:dyDescent="0.2">
      <c r="A53" s="74"/>
      <c r="B53" s="74"/>
      <c r="C53" s="74"/>
    </row>
    <row r="54" spans="1:9" ht="12" x14ac:dyDescent="0.25">
      <c r="A54" s="12"/>
    </row>
    <row r="55" spans="1:9" ht="12" x14ac:dyDescent="0.25">
      <c r="A55" s="12"/>
    </row>
    <row r="56" spans="1:9" ht="12" x14ac:dyDescent="0.25">
      <c r="A56" s="12"/>
    </row>
    <row r="57" spans="1:9" ht="12" x14ac:dyDescent="0.25">
      <c r="A57" s="13"/>
      <c r="B57" s="14"/>
      <c r="C57" s="14"/>
    </row>
    <row r="58" spans="1:9" ht="12" x14ac:dyDescent="0.25">
      <c r="A58" s="15" t="s">
        <v>58</v>
      </c>
      <c r="B58" s="16"/>
      <c r="C58" s="17"/>
    </row>
    <row r="59" spans="1:9" ht="12" x14ac:dyDescent="0.25">
      <c r="A59" s="15" t="s">
        <v>59</v>
      </c>
      <c r="B59" s="18"/>
      <c r="C59" s="18"/>
    </row>
    <row r="60" spans="1:9" s="2" customFormat="1" x14ac:dyDescent="0.2">
      <c r="A60" s="19"/>
      <c r="B60" s="19"/>
      <c r="C60" s="19"/>
      <c r="D60" s="19"/>
      <c r="E60" s="19"/>
      <c r="F60" s="20"/>
    </row>
    <row r="61" spans="1:9" s="2" customFormat="1" ht="12" x14ac:dyDescent="0.25">
      <c r="A61" s="21"/>
      <c r="B61" s="21"/>
      <c r="C61" s="21"/>
      <c r="D61" s="21"/>
      <c r="E61" s="21"/>
      <c r="F61" s="21"/>
    </row>
    <row r="62" spans="1:9" ht="12" x14ac:dyDescent="0.25">
      <c r="A62" s="75"/>
      <c r="B62" s="75"/>
      <c r="C62" s="23"/>
      <c r="D62" s="24"/>
      <c r="E62" s="23"/>
      <c r="F62" s="23"/>
    </row>
    <row r="63" spans="1:9" x14ac:dyDescent="0.2">
      <c r="A63" s="25"/>
      <c r="B63" s="25"/>
      <c r="C63" s="26"/>
      <c r="D63" s="27"/>
      <c r="E63" s="20"/>
      <c r="F63" s="20"/>
    </row>
    <row r="64" spans="1:9" ht="12" x14ac:dyDescent="0.25">
      <c r="A64" s="25"/>
      <c r="B64" s="25"/>
      <c r="C64" s="26"/>
      <c r="D64" s="20"/>
      <c r="E64" s="28"/>
      <c r="F64" s="20"/>
    </row>
    <row r="65" spans="1:6" x14ac:dyDescent="0.2">
      <c r="A65" s="19"/>
      <c r="B65" s="19"/>
      <c r="C65" s="19"/>
      <c r="D65" s="19"/>
      <c r="E65" s="19"/>
      <c r="F65" s="20"/>
    </row>
    <row r="66" spans="1:6" x14ac:dyDescent="0.2">
      <c r="A66" s="19"/>
      <c r="B66" s="20"/>
    </row>
    <row r="67" spans="1:6" ht="12" x14ac:dyDescent="0.25">
      <c r="A67" s="21"/>
      <c r="B67" s="21"/>
      <c r="C67" s="21"/>
      <c r="D67" s="21"/>
      <c r="E67" s="21"/>
      <c r="F67" s="21"/>
    </row>
    <row r="68" spans="1:6" ht="12" x14ac:dyDescent="0.25">
      <c r="A68" s="22"/>
      <c r="B68" s="22"/>
      <c r="C68" s="23"/>
      <c r="D68" s="22"/>
      <c r="E68" s="22"/>
      <c r="F68" s="22"/>
    </row>
    <row r="69" spans="1:6" x14ac:dyDescent="0.2">
      <c r="A69" s="25"/>
      <c r="B69" s="25"/>
      <c r="C69" s="26"/>
      <c r="D69" s="27"/>
      <c r="E69" s="20"/>
      <c r="F69" s="20"/>
    </row>
    <row r="70" spans="1:6" x14ac:dyDescent="0.2">
      <c r="A70" s="25"/>
      <c r="B70" s="25"/>
      <c r="C70" s="26"/>
      <c r="D70" s="27"/>
      <c r="E70" s="20"/>
      <c r="F70" s="20"/>
    </row>
    <row r="71" spans="1:6" x14ac:dyDescent="0.2">
      <c r="A71" s="19"/>
      <c r="B71" s="19"/>
      <c r="C71" s="19"/>
      <c r="D71" s="19"/>
      <c r="E71" s="19"/>
      <c r="F71" s="20"/>
    </row>
    <row r="72" spans="1:6" ht="12" x14ac:dyDescent="0.25">
      <c r="A72" s="22"/>
      <c r="B72" s="28"/>
      <c r="C72" s="29"/>
      <c r="D72" s="30"/>
      <c r="E72" s="28"/>
      <c r="F72" s="20"/>
    </row>
    <row r="73" spans="1:6" ht="12" x14ac:dyDescent="0.25">
      <c r="A73" s="31"/>
      <c r="B73" s="20"/>
      <c r="C73" s="29"/>
      <c r="D73" s="20"/>
      <c r="E73" s="32"/>
      <c r="F73" s="20"/>
    </row>
    <row r="74" spans="1:6" ht="12" x14ac:dyDescent="0.25">
      <c r="A74" s="31"/>
      <c r="B74" s="20"/>
      <c r="C74" s="29"/>
      <c r="D74" s="20"/>
      <c r="E74" s="20"/>
      <c r="F74" s="20"/>
    </row>
    <row r="75" spans="1:6" ht="12" x14ac:dyDescent="0.25">
      <c r="A75" s="31"/>
      <c r="B75" s="20"/>
      <c r="C75" s="29"/>
      <c r="D75" s="26"/>
      <c r="E75" s="20"/>
      <c r="F75" s="30"/>
    </row>
    <row r="76" spans="1:6" ht="12" x14ac:dyDescent="0.25">
      <c r="A76" s="31"/>
      <c r="B76" s="20"/>
      <c r="C76" s="29"/>
      <c r="D76" s="20"/>
      <c r="E76" s="20"/>
      <c r="F76" s="30"/>
    </row>
    <row r="77" spans="1:6" x14ac:dyDescent="0.2">
      <c r="A77" s="31"/>
      <c r="B77" s="20"/>
      <c r="C77" s="20"/>
      <c r="D77" s="20"/>
      <c r="E77" s="20"/>
      <c r="F77" s="20"/>
    </row>
    <row r="78" spans="1:6" ht="12" x14ac:dyDescent="0.25">
      <c r="A78" s="33"/>
      <c r="B78" s="34"/>
      <c r="C78" s="34"/>
      <c r="D78" s="34"/>
      <c r="E78" s="34"/>
      <c r="F78" s="34"/>
    </row>
    <row r="79" spans="1:6" x14ac:dyDescent="0.2">
      <c r="A79" s="35"/>
      <c r="B79" s="34"/>
      <c r="C79" s="34"/>
      <c r="D79" s="34"/>
      <c r="E79" s="34"/>
      <c r="F79" s="34"/>
    </row>
    <row r="80" spans="1:6" x14ac:dyDescent="0.2">
      <c r="A80" s="35"/>
      <c r="B80" s="34"/>
      <c r="C80" s="34"/>
      <c r="D80" s="34"/>
      <c r="E80" s="34"/>
      <c r="F80" s="34"/>
    </row>
    <row r="81" spans="1:6" x14ac:dyDescent="0.2">
      <c r="A81" s="36"/>
      <c r="B81" s="20"/>
      <c r="C81" s="20"/>
      <c r="D81" s="20"/>
      <c r="E81" s="20"/>
    </row>
    <row r="82" spans="1:6" ht="12" x14ac:dyDescent="0.25">
      <c r="A82" s="37"/>
      <c r="B82" s="34"/>
      <c r="C82" s="33"/>
      <c r="D82" s="38"/>
      <c r="E82" s="39"/>
      <c r="F82" s="1"/>
    </row>
    <row r="83" spans="1:6" ht="12" x14ac:dyDescent="0.25">
      <c r="C83" s="33"/>
      <c r="D83" s="1"/>
      <c r="E83" s="1"/>
      <c r="F83" s="1"/>
    </row>
  </sheetData>
  <sheetProtection formatCells="0" formatColumns="0" formatRows="0" insertColumns="0" insertRows="0" insertHyperlinks="0" deleteColumns="0" deleteRows="0" sort="0" autoFilter="0" pivotTables="0"/>
  <mergeCells count="138">
    <mergeCell ref="F45:F46"/>
    <mergeCell ref="G45:G46"/>
    <mergeCell ref="A5:G6"/>
    <mergeCell ref="A4:I4"/>
    <mergeCell ref="A45:A46"/>
    <mergeCell ref="B45:B46"/>
    <mergeCell ref="C45:C46"/>
    <mergeCell ref="D45:D46"/>
    <mergeCell ref="E45:E46"/>
    <mergeCell ref="A37:A38"/>
    <mergeCell ref="A39:A40"/>
    <mergeCell ref="A41:A42"/>
    <mergeCell ref="A43:A44"/>
    <mergeCell ref="B43:B44"/>
    <mergeCell ref="B41:B42"/>
    <mergeCell ref="B39:B40"/>
    <mergeCell ref="B37:B38"/>
    <mergeCell ref="A35:A36"/>
    <mergeCell ref="B35:B36"/>
    <mergeCell ref="B33:B34"/>
    <mergeCell ref="B31:B32"/>
    <mergeCell ref="G41:G42"/>
    <mergeCell ref="G43:G44"/>
    <mergeCell ref="G31:G32"/>
    <mergeCell ref="G33:G34"/>
    <mergeCell ref="G35:G36"/>
    <mergeCell ref="G37:G38"/>
    <mergeCell ref="G39:G40"/>
    <mergeCell ref="E41:E42"/>
    <mergeCell ref="E43:E44"/>
    <mergeCell ref="F31:F32"/>
    <mergeCell ref="F33:F34"/>
    <mergeCell ref="F35:F36"/>
    <mergeCell ref="F37:F38"/>
    <mergeCell ref="F39:F40"/>
    <mergeCell ref="F41:F42"/>
    <mergeCell ref="F43:F44"/>
    <mergeCell ref="E31:E32"/>
    <mergeCell ref="E33:E34"/>
    <mergeCell ref="E35:E36"/>
    <mergeCell ref="E37:E38"/>
    <mergeCell ref="E39:E40"/>
    <mergeCell ref="D35:D36"/>
    <mergeCell ref="D37:D38"/>
    <mergeCell ref="D39:D40"/>
    <mergeCell ref="D41:D42"/>
    <mergeCell ref="D43:D44"/>
    <mergeCell ref="C35:C36"/>
    <mergeCell ref="C37:C38"/>
    <mergeCell ref="C39:C40"/>
    <mergeCell ref="C41:C42"/>
    <mergeCell ref="C43:C44"/>
    <mergeCell ref="E29:E30"/>
    <mergeCell ref="F29:F30"/>
    <mergeCell ref="G29:G30"/>
    <mergeCell ref="E27:E28"/>
    <mergeCell ref="F27:F28"/>
    <mergeCell ref="G27:G28"/>
    <mergeCell ref="A27:A28"/>
    <mergeCell ref="A29:A30"/>
    <mergeCell ref="A31:A32"/>
    <mergeCell ref="A33:A34"/>
    <mergeCell ref="D27:D28"/>
    <mergeCell ref="D29:D30"/>
    <mergeCell ref="C27:C28"/>
    <mergeCell ref="C29:C30"/>
    <mergeCell ref="C31:C32"/>
    <mergeCell ref="C33:C34"/>
    <mergeCell ref="D31:D32"/>
    <mergeCell ref="D33:D34"/>
    <mergeCell ref="B27:B28"/>
    <mergeCell ref="B29:B30"/>
    <mergeCell ref="C22:C23"/>
    <mergeCell ref="C24:C25"/>
    <mergeCell ref="A20:A21"/>
    <mergeCell ref="A18:A19"/>
    <mergeCell ref="A15:A16"/>
    <mergeCell ref="A22:A23"/>
    <mergeCell ref="A24:A25"/>
    <mergeCell ref="B24:B25"/>
    <mergeCell ref="B22:B23"/>
    <mergeCell ref="B20:B21"/>
    <mergeCell ref="B18:B19"/>
    <mergeCell ref="B15:B16"/>
    <mergeCell ref="C18:C19"/>
    <mergeCell ref="D22:D23"/>
    <mergeCell ref="D24:D25"/>
    <mergeCell ref="E24:E25"/>
    <mergeCell ref="F24:F25"/>
    <mergeCell ref="G24:G25"/>
    <mergeCell ref="F20:F21"/>
    <mergeCell ref="G20:G21"/>
    <mergeCell ref="E22:E23"/>
    <mergeCell ref="F22:F23"/>
    <mergeCell ref="G22:G23"/>
    <mergeCell ref="C11:C12"/>
    <mergeCell ref="D11:D12"/>
    <mergeCell ref="E11:E12"/>
    <mergeCell ref="F11:F12"/>
    <mergeCell ref="G11:G12"/>
    <mergeCell ref="D18:D19"/>
    <mergeCell ref="C20:C21"/>
    <mergeCell ref="D20:D21"/>
    <mergeCell ref="E20:E21"/>
    <mergeCell ref="F13:F14"/>
    <mergeCell ref="G13:G14"/>
    <mergeCell ref="E18:E19"/>
    <mergeCell ref="F18:F19"/>
    <mergeCell ref="G18:G19"/>
    <mergeCell ref="C15:C16"/>
    <mergeCell ref="D15:D16"/>
    <mergeCell ref="E15:E16"/>
    <mergeCell ref="F15:F16"/>
    <mergeCell ref="G15:G16"/>
    <mergeCell ref="A1:I1"/>
    <mergeCell ref="A53:C53"/>
    <mergeCell ref="A62:B62"/>
    <mergeCell ref="C3:G3"/>
    <mergeCell ref="H5:I5"/>
    <mergeCell ref="A47:F47"/>
    <mergeCell ref="A48:G48"/>
    <mergeCell ref="A49:G49"/>
    <mergeCell ref="A50:G50"/>
    <mergeCell ref="A51:G51"/>
    <mergeCell ref="A9:A10"/>
    <mergeCell ref="B9:B10"/>
    <mergeCell ref="C9:C10"/>
    <mergeCell ref="D9:D10"/>
    <mergeCell ref="E9:E10"/>
    <mergeCell ref="F9:F10"/>
    <mergeCell ref="A13:A14"/>
    <mergeCell ref="B13:B14"/>
    <mergeCell ref="C13:C14"/>
    <mergeCell ref="D13:D14"/>
    <mergeCell ref="E13:E14"/>
    <mergeCell ref="G9:G10"/>
    <mergeCell ref="A11:A12"/>
    <mergeCell ref="B11:B12"/>
  </mergeCells>
  <pageMargins left="0.7" right="0.7" top="0.75" bottom="0.75" header="0.3" footer="0.3"/>
  <pageSetup orientation="portrait" errors="blank" r:id="rId1"/>
  <ignoredErrors>
    <ignoredError sqref="H15:I15 H13:I13 H12:I12 H14:I14 I20 I22 I24 H11:I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Valorado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amen loor</dc:creator>
  <cp:lastModifiedBy>PC</cp:lastModifiedBy>
  <dcterms:created xsi:type="dcterms:W3CDTF">2026-09-01T16:13:31Z</dcterms:created>
  <dcterms:modified xsi:type="dcterms:W3CDTF">2026-10-15T03:51:25Z</dcterms:modified>
</cp:coreProperties>
</file>